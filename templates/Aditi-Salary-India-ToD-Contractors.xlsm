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affingaditi-my.sharepoint.com/personal/shabithar_aditiconsulting_com/Documents/Desktop/"/>
    </mc:Choice>
  </mc:AlternateContent>
  <xr:revisionPtr revIDLastSave="686" documentId="8_{9EB776AE-C5FD-4165-952E-BCAEA2246F13}" xr6:coauthVersionLast="47" xr6:coauthVersionMax="47" xr10:uidLastSave="{98635DFC-414A-4BEE-BBA9-C5ADAF015925}"/>
  <workbookProtection workbookAlgorithmName="SHA-512" workbookHashValue="FTRp/nETpeGPkuE4FxeHFXebMLAxI3jnsIsdn9v6ABvjBFAHvDT8blTniOLdBbwfmslyQNK4uffkscDv4ngdHg==" workbookSaltValue="iUEc3C+WIDlPf0EpRGSjEA==" workbookSpinCount="100000" lockStructure="1"/>
  <bookViews>
    <workbookView xWindow="1500" yWindow="-16320" windowWidth="29040" windowHeight="15720" xr2:uid="{00000000-000D-0000-FFFF-FFFF00000000}"/>
  </bookViews>
  <sheets>
    <sheet name="Salary Breakup" sheetId="6" r:id="rId1"/>
    <sheet name="Tax working" sheetId="8" r:id="rId2"/>
  </sheets>
  <definedNames>
    <definedName name="_xlnm.Print_Area" localSheetId="0">'Salary Breakup'!$A$1:$D$49</definedName>
    <definedName name="_xlnm.Print_Area" localSheetId="1">'Tax working'!$A$1:$C$34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6" l="1"/>
  <c r="D16" i="6" s="1"/>
  <c r="D20" i="6"/>
  <c r="D12" i="6" l="1"/>
  <c r="C12" i="6" s="1"/>
  <c r="I4" i="8"/>
  <c r="C18" i="8"/>
  <c r="C31" i="8"/>
  <c r="C32" i="8"/>
  <c r="C30" i="8"/>
  <c r="C29" i="8"/>
  <c r="C28" i="8"/>
  <c r="M37" i="8" l="1"/>
  <c r="M38" i="8" s="1"/>
  <c r="Q37" i="8"/>
  <c r="Q38" i="8" s="1"/>
  <c r="Q39" i="8" s="1"/>
  <c r="Q40" i="8" s="1"/>
  <c r="Q41" i="8" s="1"/>
  <c r="D35" i="6" l="1"/>
  <c r="F19" i="8"/>
  <c r="F18" i="8"/>
  <c r="C10" i="6" l="1"/>
  <c r="B4" i="8" s="1"/>
  <c r="B14" i="8" l="1"/>
  <c r="B15" i="8"/>
  <c r="B6" i="8"/>
  <c r="E4" i="8"/>
  <c r="E6" i="8" l="1"/>
  <c r="C16" i="6"/>
  <c r="B26" i="8" s="1"/>
  <c r="C19" i="8" s="1"/>
  <c r="C33" i="6" l="1"/>
  <c r="D33" i="6" l="1"/>
  <c r="C34" i="6"/>
  <c r="D34" i="6" s="1"/>
  <c r="D11" i="6" l="1"/>
  <c r="C11" i="6" l="1"/>
  <c r="B5" i="8" s="1"/>
  <c r="E5" i="8" s="1"/>
  <c r="D13" i="6"/>
  <c r="B13" i="8" l="1"/>
  <c r="C12" i="8" s="1"/>
  <c r="C13" i="6"/>
  <c r="C21" i="6"/>
  <c r="D15" i="6"/>
  <c r="D17" i="6" s="1"/>
  <c r="C31" i="6" s="1"/>
  <c r="D31" i="6" s="1"/>
  <c r="D21" i="6" l="1"/>
  <c r="D23" i="6" s="1"/>
  <c r="D25" i="6" s="1"/>
  <c r="C23" i="6"/>
  <c r="C25" i="6" s="1"/>
  <c r="B7" i="8"/>
  <c r="C15" i="6"/>
  <c r="C9" i="8" l="1"/>
  <c r="C34" i="8" s="1"/>
  <c r="C36" i="8" s="1"/>
  <c r="C38" i="8" s="1"/>
  <c r="C40" i="8" s="1"/>
  <c r="C41" i="8" s="1"/>
  <c r="C43" i="8" s="1"/>
  <c r="C44" i="8" s="1"/>
  <c r="C36" i="6" s="1"/>
  <c r="C38" i="6" s="1"/>
  <c r="E7" i="8"/>
  <c r="F9" i="8" s="1"/>
  <c r="F34" i="8" s="1"/>
  <c r="F36" i="8" s="1"/>
  <c r="F38" i="8" s="1"/>
  <c r="F39" i="8" s="1"/>
  <c r="F40" i="8" s="1"/>
  <c r="F41" i="8" s="1"/>
  <c r="F43" i="8" s="1"/>
  <c r="F44" i="8" s="1"/>
  <c r="D36" i="6" s="1"/>
  <c r="D3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tc={FD679D37-5230-46D5-8AF4-9E444D15071F}</author>
    <author>tc={B8F71C24-0799-4CD2-A106-5E7702617831}</author>
  </authors>
  <commentList>
    <comment ref="C7" authorId="0" shapeId="0" xr:uid="{FD679D37-5230-46D5-8AF4-9E444D15071F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 Yes/No as per employee choice</t>
      </text>
    </comment>
    <comment ref="C17" authorId="1" shapeId="0" xr:uid="{B8F71C24-0799-4CD2-A106-5E7702617831}">
      <text>
        <t>[Threaded comment]
Your version of Excel allows you to read this threaded comment; however, any edits to it will get removed if the file is opened in a newer version of Excel. Learn more: https://go.microsoft.com/fwlink/?linkid=870924
Comment:
    If we update Annual Gross CTC. The Other numbers will automatically gets updated.</t>
      </text>
    </comment>
  </commentList>
</comments>
</file>

<file path=xl/sharedStrings.xml><?xml version="1.0" encoding="utf-8"?>
<sst xmlns="http://schemas.openxmlformats.org/spreadsheetml/2006/main" count="95" uniqueCount="81">
  <si>
    <t>Annual</t>
  </si>
  <si>
    <t>Monthly</t>
  </si>
  <si>
    <t>Your salary is subject to Income tax as per Income Tax act, 1961</t>
  </si>
  <si>
    <t>Note:</t>
  </si>
  <si>
    <t>Earnings</t>
  </si>
  <si>
    <t>Leave - as per policy</t>
  </si>
  <si>
    <t>Education / Certification reimbursement - as per policy</t>
  </si>
  <si>
    <t>Performance appraisal - as per policy</t>
  </si>
  <si>
    <t>Loan Eligibility as per policy</t>
  </si>
  <si>
    <t>Other Benefits and reimbursements - as per prevailing company policy</t>
  </si>
  <si>
    <t>Statutory Bonus (20%)</t>
  </si>
  <si>
    <t>Special Allowance</t>
  </si>
  <si>
    <t xml:space="preserve">Benefits mentioned above are subject to change. </t>
  </si>
  <si>
    <t xml:space="preserve">Salary Income </t>
  </si>
  <si>
    <t>HRA Allowance</t>
  </si>
  <si>
    <t>Group Medical and Group Accidental Life Insurance Premium</t>
  </si>
  <si>
    <t>Income Tax Computation</t>
  </si>
  <si>
    <t>in INR</t>
  </si>
  <si>
    <t>Gross Salary</t>
  </si>
  <si>
    <r>
      <rPr>
        <b/>
        <sz val="11"/>
        <rFont val="Times New Roman"/>
        <family val="1"/>
      </rPr>
      <t>Less:</t>
    </r>
    <r>
      <rPr>
        <sz val="11"/>
        <rFont val="Times New Roman"/>
        <family val="1"/>
      </rPr>
      <t xml:space="preserve"> Deductions and Exemptions</t>
    </r>
  </si>
  <si>
    <t xml:space="preserve">    i. Actual HRA Received</t>
  </si>
  <si>
    <t xml:space="preserve">    iii. 40% of Basic and DA</t>
  </si>
  <si>
    <t xml:space="preserve">    ii. Actual Rent Paid less 10% of Basic and DA</t>
  </si>
  <si>
    <t>a. House Rent Allowance U/s 10(13A) - Least of Below</t>
  </si>
  <si>
    <t>b. Standand Deduction</t>
  </si>
  <si>
    <t>c. Tax on Employment</t>
  </si>
  <si>
    <t>d. Deduction U/s 80C [Insurance Premium and PF Contributions]</t>
  </si>
  <si>
    <t>e. Deduction U/s 80D</t>
  </si>
  <si>
    <t>Taxable Salary</t>
  </si>
  <si>
    <t>Under Old Regime</t>
  </si>
  <si>
    <t>Total Tax before Surcharge and Cess</t>
  </si>
  <si>
    <r>
      <t xml:space="preserve">Add: </t>
    </r>
    <r>
      <rPr>
        <sz val="11"/>
        <rFont val="Times New Roman"/>
        <family val="1"/>
      </rPr>
      <t>Cess @ 4%</t>
    </r>
  </si>
  <si>
    <t>Total Tax Payable including Cess</t>
  </si>
  <si>
    <t>Tax Payable - Monthly</t>
  </si>
  <si>
    <t>Under New Regime</t>
  </si>
  <si>
    <t>Particulars</t>
  </si>
  <si>
    <t>Old</t>
  </si>
  <si>
    <t>New</t>
  </si>
  <si>
    <r>
      <t>Less:</t>
    </r>
    <r>
      <rPr>
        <sz val="11"/>
        <color theme="1"/>
        <rFont val="Times New Roman"/>
        <family val="1"/>
      </rPr>
      <t xml:space="preserve"> Deductions</t>
    </r>
  </si>
  <si>
    <t>a. Employee PF Contribution</t>
  </si>
  <si>
    <t>b. Employer PF Contribution</t>
  </si>
  <si>
    <t>d. Income Tax [Estimated]</t>
  </si>
  <si>
    <t>Net Take Home</t>
  </si>
  <si>
    <t>Monthly Net Pay:</t>
  </si>
  <si>
    <t>Tax Slab</t>
  </si>
  <si>
    <t>Tax Rate</t>
  </si>
  <si>
    <t>Tax</t>
  </si>
  <si>
    <t>Taxable</t>
  </si>
  <si>
    <r>
      <rPr>
        <b/>
        <sz val="11"/>
        <rFont val="Times New Roman"/>
        <family val="1"/>
      </rPr>
      <t>Less:</t>
    </r>
    <r>
      <rPr>
        <sz val="11"/>
        <rFont val="Times New Roman"/>
        <family val="1"/>
      </rPr>
      <t xml:space="preserve"> Marginal Relief</t>
    </r>
  </si>
  <si>
    <t>Tax after Relief</t>
  </si>
  <si>
    <r>
      <rPr>
        <b/>
        <sz val="11"/>
        <color theme="1"/>
        <rFont val="Times New Roman"/>
        <family val="1"/>
      </rPr>
      <t>Add:</t>
    </r>
    <r>
      <rPr>
        <sz val="11"/>
        <color theme="1"/>
        <rFont val="Times New Roman"/>
        <family val="1"/>
      </rPr>
      <t xml:space="preserve"> Provident Fund (Employer Contribution)</t>
    </r>
  </si>
  <si>
    <t>Benefits:</t>
  </si>
  <si>
    <t>f. Interest on Housing Loan</t>
  </si>
  <si>
    <t xml:space="preserve">    i. Insurance premium</t>
  </si>
  <si>
    <t xml:space="preserve">    ii. Children Tuition Fee</t>
  </si>
  <si>
    <t xml:space="preserve">    iii. Tax Saver Mutual Funds</t>
  </si>
  <si>
    <t xml:space="preserve">    iv. Principal Repayment of Housing Loan</t>
  </si>
  <si>
    <t xml:space="preserve">    v. Tax Saver FD with Scheduled bank</t>
  </si>
  <si>
    <t xml:space="preserve">    vi. Public Provident Fund</t>
  </si>
  <si>
    <t xml:space="preserve">    vii. Employee Contribution to EPF</t>
  </si>
  <si>
    <t xml:space="preserve">    i. Medical Insurance Premium for Individual (&lt;60 Years)</t>
  </si>
  <si>
    <t xml:space="preserve">    ii. Medical Insurance Premium for Parents (&lt;60 Years)</t>
  </si>
  <si>
    <t xml:space="preserve">    iii. Medical Insurance Premium for Parents (&gt;60 Years)</t>
  </si>
  <si>
    <t>g. Investment in NPS (80CCD(1B)</t>
  </si>
  <si>
    <t>Update Rent Pay here</t>
  </si>
  <si>
    <t>Monthly Rent</t>
  </si>
  <si>
    <t>Annual Rent</t>
  </si>
  <si>
    <t>Statutory Bonus</t>
  </si>
  <si>
    <t>Basic &amp; DA</t>
  </si>
  <si>
    <t>Name</t>
  </si>
  <si>
    <t>Designation</t>
  </si>
  <si>
    <t>Aditi Tech Consulting</t>
  </si>
  <si>
    <t>Gross CTC [A]</t>
  </si>
  <si>
    <t>Total Benefits [B]</t>
  </si>
  <si>
    <t>Overall CTC with Benefits [A+B]</t>
  </si>
  <si>
    <t>Employee Number</t>
  </si>
  <si>
    <t>Salary Breakup:</t>
  </si>
  <si>
    <t>PF at 12% of Actual Basic</t>
  </si>
  <si>
    <t>No</t>
  </si>
  <si>
    <r>
      <t xml:space="preserve">Gratuity </t>
    </r>
    <r>
      <rPr>
        <i/>
        <sz val="11"/>
        <color theme="1"/>
        <rFont val="Times New Roman"/>
        <family val="1"/>
      </rPr>
      <t>(Eligible after 1 year of service)</t>
    </r>
  </si>
  <si>
    <t>Tax Regime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</si>
</sst>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1"/>
      <color theme="1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0" fontId="3" fillId="0" borderId="0" xfId="0" applyFont="1"/>
    <xf numFmtId="165" fontId="3" fillId="0" borderId="0" xfId="0" applyNumberFormat="1" applyFont="1"/>
    <xf numFmtId="165" fontId="3" fillId="0" borderId="1" xfId="6" applyNumberFormat="1" applyFont="1" applyBorder="1"/>
    <xf numFmtId="165" fontId="3" fillId="0" borderId="1" xfId="0" applyNumberFormat="1" applyFont="1" applyBorder="1"/>
    <xf numFmtId="0" fontId="3" fillId="0" borderId="0" xfId="0" applyFont="1" applyAlignment="1">
      <alignment vertical="center"/>
    </xf>
    <xf numFmtId="1" fontId="3" fillId="0" borderId="0" xfId="0" applyNumberFormat="1" applyFont="1"/>
    <xf numFmtId="43" fontId="3" fillId="0" borderId="0" xfId="0" applyNumberFormat="1" applyFont="1" applyAlignment="1">
      <alignment vertical="center"/>
    </xf>
    <xf numFmtId="0" fontId="3" fillId="0" borderId="1" xfId="0" applyFont="1" applyBorder="1"/>
    <xf numFmtId="0" fontId="4" fillId="0" borderId="0" xfId="0" applyFont="1"/>
    <xf numFmtId="0" fontId="3" fillId="0" borderId="0" xfId="0" applyFont="1" applyAlignment="1">
      <alignment horizontal="left" indent="3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vertical="center"/>
    </xf>
    <xf numFmtId="165" fontId="4" fillId="2" borderId="1" xfId="6" applyNumberFormat="1" applyFont="1" applyFill="1" applyBorder="1" applyAlignment="1">
      <alignment vertical="center"/>
    </xf>
    <xf numFmtId="165" fontId="4" fillId="2" borderId="1" xfId="6" applyNumberFormat="1" applyFont="1" applyFill="1" applyBorder="1"/>
    <xf numFmtId="0" fontId="7" fillId="0" borderId="0" xfId="2" applyFont="1"/>
    <xf numFmtId="0" fontId="8" fillId="0" borderId="0" xfId="2" applyFont="1"/>
    <xf numFmtId="0" fontId="7" fillId="0" borderId="1" xfId="2" applyFont="1" applyBorder="1"/>
    <xf numFmtId="0" fontId="8" fillId="0" borderId="1" xfId="2" applyFont="1" applyBorder="1"/>
    <xf numFmtId="165" fontId="8" fillId="0" borderId="1" xfId="4" applyNumberFormat="1" applyFont="1" applyBorder="1"/>
    <xf numFmtId="165" fontId="7" fillId="0" borderId="1" xfId="4" applyNumberFormat="1" applyFont="1" applyBorder="1"/>
    <xf numFmtId="0" fontId="7" fillId="2" borderId="1" xfId="2" applyFont="1" applyFill="1" applyBorder="1"/>
    <xf numFmtId="0" fontId="7" fillId="2" borderId="1" xfId="2" applyFont="1" applyFill="1" applyBorder="1" applyAlignment="1">
      <alignment horizontal="centerContinuous"/>
    </xf>
    <xf numFmtId="165" fontId="8" fillId="2" borderId="1" xfId="4" applyNumberFormat="1" applyFont="1" applyFill="1" applyBorder="1"/>
    <xf numFmtId="165" fontId="7" fillId="2" borderId="1" xfId="4" applyNumberFormat="1" applyFont="1" applyFill="1" applyBorder="1"/>
    <xf numFmtId="165" fontId="7" fillId="0" borderId="1" xfId="2" applyNumberFormat="1" applyFont="1" applyBorder="1"/>
    <xf numFmtId="0" fontId="8" fillId="2" borderId="1" xfId="2" applyFont="1" applyFill="1" applyBorder="1"/>
    <xf numFmtId="165" fontId="7" fillId="2" borderId="1" xfId="6" applyNumberFormat="1" applyFont="1" applyFill="1" applyBorder="1"/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centerContinuous"/>
    </xf>
    <xf numFmtId="0" fontId="9" fillId="0" borderId="0" xfId="0" applyFont="1"/>
    <xf numFmtId="0" fontId="7" fillId="0" borderId="2" xfId="2" applyFont="1" applyBorder="1"/>
    <xf numFmtId="0" fontId="8" fillId="0" borderId="3" xfId="2" applyFont="1" applyBorder="1"/>
    <xf numFmtId="0" fontId="8" fillId="0" borderId="2" xfId="2" applyFont="1" applyBorder="1"/>
    <xf numFmtId="9" fontId="7" fillId="2" borderId="1" xfId="7" applyFont="1" applyFill="1" applyBorder="1"/>
    <xf numFmtId="0" fontId="8" fillId="0" borderId="4" xfId="2" applyFont="1" applyBorder="1"/>
    <xf numFmtId="0" fontId="8" fillId="2" borderId="4" xfId="2" applyFont="1" applyFill="1" applyBorder="1"/>
    <xf numFmtId="165" fontId="8" fillId="2" borderId="1" xfId="6" applyNumberFormat="1" applyFont="1" applyFill="1" applyBorder="1"/>
    <xf numFmtId="0" fontId="7" fillId="2" borderId="2" xfId="2" applyFont="1" applyFill="1" applyBorder="1"/>
    <xf numFmtId="165" fontId="8" fillId="0" borderId="0" xfId="2" applyNumberFormat="1" applyFont="1"/>
    <xf numFmtId="165" fontId="4" fillId="2" borderId="1" xfId="0" applyNumberFormat="1" applyFont="1" applyFill="1" applyBorder="1"/>
    <xf numFmtId="165" fontId="3" fillId="0" borderId="1" xfId="6" applyNumberFormat="1" applyFont="1" applyFill="1" applyBorder="1"/>
    <xf numFmtId="165" fontId="8" fillId="0" borderId="0" xfId="6" applyNumberFormat="1" applyFont="1"/>
    <xf numFmtId="9" fontId="8" fillId="0" borderId="0" xfId="2" applyNumberFormat="1" applyFont="1" applyAlignment="1">
      <alignment horizontal="center"/>
    </xf>
    <xf numFmtId="165" fontId="7" fillId="0" borderId="0" xfId="2" applyNumberFormat="1" applyFont="1"/>
    <xf numFmtId="10" fontId="3" fillId="0" borderId="0" xfId="7" applyNumberFormat="1" applyFont="1"/>
    <xf numFmtId="165" fontId="4" fillId="3" borderId="1" xfId="6" applyNumberFormat="1" applyFont="1" applyFill="1" applyBorder="1" applyAlignment="1">
      <alignment vertical="center"/>
    </xf>
    <xf numFmtId="9" fontId="8" fillId="0" borderId="0" xfId="2" applyNumberFormat="1" applyFont="1"/>
    <xf numFmtId="164" fontId="8" fillId="0" borderId="0" xfId="2" applyNumberFormat="1" applyFont="1"/>
    <xf numFmtId="0" fontId="7" fillId="2" borderId="1" xfId="2" applyFont="1" applyFill="1" applyBorder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165" fontId="8" fillId="3" borderId="1" xfId="6" applyNumberFormat="1" applyFont="1" applyFill="1" applyBorder="1" applyAlignment="1">
      <alignment vertical="center"/>
    </xf>
    <xf numFmtId="165" fontId="8" fillId="0" borderId="1" xfId="4" applyNumberFormat="1" applyFont="1" applyBorder="1" applyAlignment="1">
      <alignment vertical="center"/>
    </xf>
    <xf numFmtId="165" fontId="8" fillId="0" borderId="1" xfId="6" applyNumberFormat="1" applyFont="1" applyBorder="1" applyAlignment="1">
      <alignment vertical="center"/>
    </xf>
    <xf numFmtId="9" fontId="3" fillId="0" borderId="0" xfId="7" applyFont="1"/>
    <xf numFmtId="10" fontId="3" fillId="0" borderId="0" xfId="0" applyNumberFormat="1" applyFont="1"/>
    <xf numFmtId="0" fontId="7" fillId="0" borderId="0" xfId="2" applyFont="1" applyAlignment="1">
      <alignment horizontal="center"/>
    </xf>
    <xf numFmtId="165" fontId="8" fillId="0" borderId="0" xfId="2" applyNumberFormat="1" applyFont="1" applyAlignment="1">
      <alignment vertical="center"/>
    </xf>
    <xf numFmtId="165" fontId="8" fillId="0" borderId="0" xfId="6" applyNumberFormat="1" applyFont="1" applyFill="1" applyBorder="1"/>
    <xf numFmtId="165" fontId="8" fillId="3" borderId="1" xfId="4" applyNumberFormat="1" applyFont="1" applyFill="1" applyBorder="1"/>
    <xf numFmtId="165" fontId="8" fillId="0" borderId="1" xfId="4" applyNumberFormat="1" applyFont="1" applyFill="1" applyBorder="1"/>
    <xf numFmtId="0" fontId="10" fillId="0" borderId="0" xfId="2" applyFont="1"/>
    <xf numFmtId="0" fontId="11" fillId="0" borderId="0" xfId="2" applyFont="1" applyAlignment="1">
      <alignment horizontal="center"/>
    </xf>
    <xf numFmtId="9" fontId="10" fillId="0" borderId="0" xfId="2" applyNumberFormat="1" applyFont="1" applyAlignment="1">
      <alignment horizontal="center"/>
    </xf>
    <xf numFmtId="165" fontId="10" fillId="0" borderId="0" xfId="6" applyNumberFormat="1" applyFont="1"/>
    <xf numFmtId="0" fontId="4" fillId="0" borderId="2" xfId="0" applyFont="1" applyBorder="1" applyAlignment="1">
      <alignment horizontal="left"/>
    </xf>
    <xf numFmtId="0" fontId="4" fillId="0" borderId="4" xfId="0" applyFont="1" applyBorder="1" applyAlignment="1">
      <alignment horizontal="centerContinuous"/>
    </xf>
    <xf numFmtId="0" fontId="3" fillId="0" borderId="4" xfId="0" applyFont="1" applyBorder="1"/>
    <xf numFmtId="0" fontId="4" fillId="4" borderId="2" xfId="0" applyFont="1" applyFill="1" applyBorder="1" applyAlignment="1">
      <alignment horizontal="center"/>
    </xf>
    <xf numFmtId="0" fontId="3" fillId="0" borderId="0" xfId="0" applyFont="1" applyAlignment="1">
      <alignment horizontal="left" indent="3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8" fillId="0" borderId="0" xfId="2" applyFont="1" applyAlignment="1">
      <alignment horizontal="left" vertical="center" wrapText="1"/>
    </xf>
    <xf numFmtId="0" fontId="7" fillId="0" borderId="0" xfId="2" applyFont="1" applyAlignment="1">
      <alignment horizontal="left"/>
    </xf>
  </cellXfs>
  <cellStyles count="8">
    <cellStyle name="=C:\WINNT\SYSTEM32\COMMAND.COM" xfId="1" xr:uid="{00000000-0005-0000-0000-000000000000}"/>
    <cellStyle name="Comma" xfId="6" builtinId="3"/>
    <cellStyle name="Comma 2" xfId="3" xr:uid="{00000000-0005-0000-0000-000002000000}"/>
    <cellStyle name="Comma 2 2" xfId="4" xr:uid="{00000000-0005-0000-0000-000003000000}"/>
    <cellStyle name="Normal" xfId="0" builtinId="0"/>
    <cellStyle name="Normal 2" xfId="5" xr:uid="{00000000-0005-0000-0000-000005000000}"/>
    <cellStyle name="Normal 9 2" xfId="2" xr:uid="{00000000-0005-0000-0000-000006000000}"/>
    <cellStyle name="Percent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Vangavenkata Rao" id="{E8DED4A6-7629-4213-A0F7-840237AE196C}" userId="S::vangavenkatar@aditiconsulting.com::a69b059a-3805-4e6d-8b90-834599913bdd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6-07-13T09:23:59.56" personId="{E8DED4A6-7629-4213-A0F7-840237AE196C}" id="{FD679D37-5230-46D5-8AF4-9E444D15071F}">
    <text>Update Yes/No as per employee choice</text>
  </threadedComment>
  <threadedComment ref="C17" dT="2024-12-21T14:39:01.18" personId="{E8DED4A6-7629-4213-A0F7-840237AE196C}" id="{B8F71C24-0799-4CD2-A106-5E7702617831}">
    <text>If we update Annual Gross CTC. The Other numbers will automatically gets updated.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48"/>
  <sheetViews>
    <sheetView showGridLines="0" tabSelected="1" topLeftCell="A7" zoomScaleNormal="100" workbookViewId="0">
      <selection activeCell="G26" sqref="G26"/>
    </sheetView>
  </sheetViews>
  <sheetFormatPr defaultColWidth="9.1796875" defaultRowHeight="14" x14ac:dyDescent="0.3"/>
  <cols>
    <col min="1" max="1" width="2.54296875" style="1" customWidth="1"/>
    <col min="2" max="2" width="56" style="1" bestFit="1" customWidth="1"/>
    <col min="3" max="3" width="12.7265625" style="1" bestFit="1" customWidth="1"/>
    <col min="4" max="4" width="11.54296875" style="1" bestFit="1" customWidth="1"/>
    <col min="5" max="5" width="10" style="1" bestFit="1" customWidth="1"/>
    <col min="6" max="6" width="25.7265625" style="1" bestFit="1" customWidth="1"/>
    <col min="7" max="8" width="15.26953125" style="1" customWidth="1"/>
    <col min="9" max="16384" width="9.1796875" style="1"/>
  </cols>
  <sheetData>
    <row r="1" spans="2:5" x14ac:dyDescent="0.3">
      <c r="B1" s="9" t="s">
        <v>71</v>
      </c>
    </row>
    <row r="3" spans="2:5" x14ac:dyDescent="0.3">
      <c r="B3" s="33" t="s">
        <v>76</v>
      </c>
      <c r="C3" s="9"/>
      <c r="D3" s="9"/>
    </row>
    <row r="4" spans="2:5" x14ac:dyDescent="0.3">
      <c r="B4" s="29" t="s">
        <v>75</v>
      </c>
      <c r="C4" s="70"/>
      <c r="D4" s="71"/>
    </row>
    <row r="5" spans="2:5" x14ac:dyDescent="0.3">
      <c r="B5" s="29" t="s">
        <v>69</v>
      </c>
      <c r="C5" s="70"/>
      <c r="D5" s="72"/>
      <c r="E5" s="48"/>
    </row>
    <row r="6" spans="2:5" x14ac:dyDescent="0.3">
      <c r="B6" s="29" t="s">
        <v>70</v>
      </c>
      <c r="C6" s="70"/>
      <c r="D6" s="72"/>
    </row>
    <row r="7" spans="2:5" x14ac:dyDescent="0.3">
      <c r="B7" s="29" t="s">
        <v>77</v>
      </c>
      <c r="C7" s="73" t="s">
        <v>78</v>
      </c>
      <c r="D7" s="72"/>
      <c r="E7" s="60"/>
    </row>
    <row r="9" spans="2:5" x14ac:dyDescent="0.3">
      <c r="B9" s="11" t="s">
        <v>4</v>
      </c>
      <c r="C9" s="12" t="s">
        <v>0</v>
      </c>
      <c r="D9" s="12" t="s">
        <v>1</v>
      </c>
      <c r="E9" s="2"/>
    </row>
    <row r="10" spans="2:5" x14ac:dyDescent="0.3">
      <c r="B10" s="8" t="s">
        <v>68</v>
      </c>
      <c r="C10" s="3">
        <f t="shared" ref="C10:C12" si="0">D10*12</f>
        <v>950004</v>
      </c>
      <c r="D10" s="3">
        <f>IF(C17&lt;273600,ROUND(C17/12*100/132,0),IF(ROUND(($C$17/12)*0.5,0)&lt;21000,21000,ROUND(($C$17/12)*0.5,0)))</f>
        <v>79167</v>
      </c>
      <c r="E10" s="59"/>
    </row>
    <row r="11" spans="2:5" x14ac:dyDescent="0.3">
      <c r="B11" s="8" t="s">
        <v>14</v>
      </c>
      <c r="C11" s="3">
        <f t="shared" si="0"/>
        <v>475008</v>
      </c>
      <c r="D11" s="3">
        <f>IF($C$17&lt;400000,ROUND($C$17/12-SUM(D10,D12:D13,D16),0),ROUND(D10*0.5,0))</f>
        <v>39584</v>
      </c>
    </row>
    <row r="12" spans="2:5" hidden="1" x14ac:dyDescent="0.3">
      <c r="B12" s="8" t="s">
        <v>67</v>
      </c>
      <c r="C12" s="3">
        <f t="shared" si="0"/>
        <v>0</v>
      </c>
      <c r="D12" s="3">
        <f>IF(D10&lt;21000,ROUND(D10*0.2,0),0)</f>
        <v>0</v>
      </c>
    </row>
    <row r="13" spans="2:5" x14ac:dyDescent="0.3">
      <c r="B13" s="8" t="s">
        <v>11</v>
      </c>
      <c r="C13" s="3">
        <f>D13*12</f>
        <v>453384</v>
      </c>
      <c r="D13" s="3">
        <f>IF(C17&gt;400000,ROUND($C$17/12-SUM(D10:D12,D16),0),0)</f>
        <v>37782</v>
      </c>
      <c r="E13" s="2"/>
    </row>
    <row r="14" spans="2:5" hidden="1" x14ac:dyDescent="0.3">
      <c r="B14" s="8"/>
      <c r="C14" s="3"/>
      <c r="D14" s="3"/>
    </row>
    <row r="15" spans="2:5" x14ac:dyDescent="0.3">
      <c r="B15" s="13" t="s">
        <v>18</v>
      </c>
      <c r="C15" s="15">
        <f>SUM(C10:C14)</f>
        <v>1878396</v>
      </c>
      <c r="D15" s="15">
        <f>SUM(D10:D14)</f>
        <v>156533</v>
      </c>
      <c r="E15" s="6"/>
    </row>
    <row r="16" spans="2:5" s="5" customFormat="1" x14ac:dyDescent="0.3">
      <c r="B16" s="8" t="s">
        <v>50</v>
      </c>
      <c r="C16" s="3">
        <f>D16*12</f>
        <v>21600</v>
      </c>
      <c r="D16" s="3">
        <f>IF(AND($C$7="No",$D$10&gt;15000),1800,ROUND($D$10*12%,0))</f>
        <v>1800</v>
      </c>
      <c r="E16" s="7"/>
    </row>
    <row r="17" spans="2:8" x14ac:dyDescent="0.3">
      <c r="B17" s="13" t="s">
        <v>72</v>
      </c>
      <c r="C17" s="49">
        <v>1900000</v>
      </c>
      <c r="D17" s="14">
        <f>SUM(D15:D16)</f>
        <v>158333</v>
      </c>
    </row>
    <row r="18" spans="2:8" x14ac:dyDescent="0.3">
      <c r="B18" s="8"/>
      <c r="C18" s="3"/>
      <c r="D18" s="3"/>
    </row>
    <row r="19" spans="2:8" x14ac:dyDescent="0.3">
      <c r="B19" s="11" t="s">
        <v>51</v>
      </c>
      <c r="C19" s="15"/>
      <c r="D19" s="15"/>
      <c r="E19" s="2"/>
      <c r="F19" s="2"/>
      <c r="H19" s="2"/>
    </row>
    <row r="20" spans="2:8" x14ac:dyDescent="0.3">
      <c r="B20" s="8" t="s">
        <v>15</v>
      </c>
      <c r="C20" s="3">
        <v>35000</v>
      </c>
      <c r="D20" s="3">
        <f>ROUND(C20/12,0)</f>
        <v>2917</v>
      </c>
      <c r="F20" s="2"/>
      <c r="G20" s="2"/>
    </row>
    <row r="21" spans="2:8" x14ac:dyDescent="0.3">
      <c r="B21" s="8" t="s">
        <v>79</v>
      </c>
      <c r="C21" s="3">
        <f>ROUND(SUM(D10,D13)*15/26,0)</f>
        <v>67471</v>
      </c>
      <c r="D21" s="3">
        <f>ROUND(C21/12,0)</f>
        <v>5623</v>
      </c>
      <c r="E21" s="48"/>
      <c r="F21" s="2"/>
      <c r="G21" s="2"/>
    </row>
    <row r="22" spans="2:8" x14ac:dyDescent="0.3">
      <c r="B22" s="8"/>
      <c r="C22" s="44"/>
      <c r="D22" s="44"/>
      <c r="F22" s="2"/>
      <c r="G22" s="2"/>
    </row>
    <row r="23" spans="2:8" x14ac:dyDescent="0.3">
      <c r="B23" s="11" t="s">
        <v>73</v>
      </c>
      <c r="C23" s="15">
        <f>SUM(C20:C22)</f>
        <v>102471</v>
      </c>
      <c r="D23" s="15">
        <f>SUM(D20:D22)</f>
        <v>8540</v>
      </c>
      <c r="F23" s="2"/>
    </row>
    <row r="24" spans="2:8" x14ac:dyDescent="0.3">
      <c r="B24" s="8"/>
      <c r="C24" s="3"/>
      <c r="D24" s="3"/>
    </row>
    <row r="25" spans="2:8" x14ac:dyDescent="0.3">
      <c r="B25" s="11" t="s">
        <v>74</v>
      </c>
      <c r="C25" s="15">
        <f>C23+C17</f>
        <v>2002471</v>
      </c>
      <c r="D25" s="15">
        <f>D23+D17</f>
        <v>166873</v>
      </c>
    </row>
    <row r="28" spans="2:8" x14ac:dyDescent="0.3">
      <c r="B28" s="33" t="s">
        <v>43</v>
      </c>
    </row>
    <row r="29" spans="2:8" x14ac:dyDescent="0.3">
      <c r="B29" s="33"/>
      <c r="C29" s="32" t="s">
        <v>80</v>
      </c>
      <c r="D29" s="32"/>
    </row>
    <row r="30" spans="2:8" x14ac:dyDescent="0.3">
      <c r="B30" s="12" t="s">
        <v>35</v>
      </c>
      <c r="C30" s="12" t="s">
        <v>36</v>
      </c>
      <c r="D30" s="12" t="s">
        <v>37</v>
      </c>
    </row>
    <row r="31" spans="2:8" x14ac:dyDescent="0.3">
      <c r="B31" s="8" t="s">
        <v>18</v>
      </c>
      <c r="C31" s="4">
        <f>D17</f>
        <v>158333</v>
      </c>
      <c r="D31" s="4">
        <f>C31</f>
        <v>158333</v>
      </c>
    </row>
    <row r="32" spans="2:8" x14ac:dyDescent="0.3">
      <c r="B32" s="29" t="s">
        <v>38</v>
      </c>
      <c r="C32" s="8"/>
      <c r="D32" s="8"/>
    </row>
    <row r="33" spans="2:4" x14ac:dyDescent="0.3">
      <c r="B33" s="8" t="s">
        <v>39</v>
      </c>
      <c r="C33" s="4">
        <f>D16</f>
        <v>1800</v>
      </c>
      <c r="D33" s="4">
        <f>C33</f>
        <v>1800</v>
      </c>
    </row>
    <row r="34" spans="2:4" x14ac:dyDescent="0.3">
      <c r="B34" s="8" t="s">
        <v>40</v>
      </c>
      <c r="C34" s="4">
        <f>C33</f>
        <v>1800</v>
      </c>
      <c r="D34" s="4">
        <f>C34</f>
        <v>1800</v>
      </c>
    </row>
    <row r="35" spans="2:4" x14ac:dyDescent="0.3">
      <c r="B35" s="8" t="s">
        <v>25</v>
      </c>
      <c r="C35" s="4">
        <v>200</v>
      </c>
      <c r="D35" s="4">
        <f>C35</f>
        <v>200</v>
      </c>
    </row>
    <row r="36" spans="2:4" x14ac:dyDescent="0.3">
      <c r="B36" s="8" t="s">
        <v>41</v>
      </c>
      <c r="C36" s="4">
        <f>'Tax working'!C44</f>
        <v>27323</v>
      </c>
      <c r="D36" s="4">
        <f>'Tax working'!F44</f>
        <v>13926</v>
      </c>
    </row>
    <row r="37" spans="2:4" x14ac:dyDescent="0.3">
      <c r="B37" s="30"/>
      <c r="C37" s="31"/>
      <c r="D37" s="31"/>
    </row>
    <row r="38" spans="2:4" x14ac:dyDescent="0.3">
      <c r="B38" s="11" t="s">
        <v>42</v>
      </c>
      <c r="C38" s="43">
        <f>C31-SUM(C32:C37)</f>
        <v>127210</v>
      </c>
      <c r="D38" s="43">
        <f>D31-SUM(D32:D37)</f>
        <v>140607</v>
      </c>
    </row>
    <row r="40" spans="2:4" x14ac:dyDescent="0.3">
      <c r="B40" s="9" t="s">
        <v>3</v>
      </c>
    </row>
    <row r="41" spans="2:4" x14ac:dyDescent="0.3">
      <c r="B41" s="76" t="s">
        <v>8</v>
      </c>
      <c r="C41" s="76"/>
      <c r="D41" s="76"/>
    </row>
    <row r="42" spans="2:4" x14ac:dyDescent="0.3">
      <c r="B42" s="76" t="s">
        <v>12</v>
      </c>
      <c r="C42" s="76"/>
      <c r="D42" s="76"/>
    </row>
    <row r="43" spans="2:4" x14ac:dyDescent="0.3">
      <c r="B43" s="76" t="s">
        <v>9</v>
      </c>
      <c r="C43" s="76"/>
      <c r="D43" s="76"/>
    </row>
    <row r="44" spans="2:4" x14ac:dyDescent="0.3">
      <c r="B44" s="74" t="s">
        <v>5</v>
      </c>
      <c r="C44" s="74"/>
      <c r="D44" s="74"/>
    </row>
    <row r="45" spans="2:4" x14ac:dyDescent="0.3">
      <c r="B45" s="74" t="s">
        <v>6</v>
      </c>
      <c r="C45" s="74"/>
      <c r="D45" s="74"/>
    </row>
    <row r="46" spans="2:4" x14ac:dyDescent="0.3">
      <c r="B46" s="10" t="s">
        <v>7</v>
      </c>
      <c r="C46" s="10"/>
      <c r="D46" s="10"/>
    </row>
    <row r="48" spans="2:4" x14ac:dyDescent="0.3">
      <c r="B48" s="75" t="s">
        <v>2</v>
      </c>
      <c r="C48" s="75"/>
      <c r="D48" s="75"/>
    </row>
  </sheetData>
  <protectedRanges>
    <protectedRange sqref="C17 S16" name="Range1"/>
  </protectedRanges>
  <mergeCells count="6">
    <mergeCell ref="B45:D45"/>
    <mergeCell ref="B48:D48"/>
    <mergeCell ref="B41:D41"/>
    <mergeCell ref="B42:D42"/>
    <mergeCell ref="B43:D43"/>
    <mergeCell ref="B44:D44"/>
  </mergeCells>
  <dataValidations count="1">
    <dataValidation type="list" allowBlank="1" showInputMessage="1" showErrorMessage="1" sqref="C7" xr:uid="{D8724CC1-D80C-4B24-B1A9-2A6ECE5E1106}">
      <formula1>"Yes, No"</formula1>
    </dataValidation>
  </dataValidations>
  <pageMargins left="0" right="0" top="0" bottom="0" header="0" footer="0"/>
  <pageSetup paperSize="9" orientation="portrait" r:id="rId1"/>
  <ignoredErrors>
    <ignoredError sqref="C15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</sheetPr>
  <dimension ref="A1:U50"/>
  <sheetViews>
    <sheetView showGridLines="0" zoomScaleNormal="100" workbookViewId="0"/>
  </sheetViews>
  <sheetFormatPr defaultColWidth="9.1796875" defaultRowHeight="14" x14ac:dyDescent="0.3"/>
  <cols>
    <col min="1" max="1" width="73.453125" style="17" bestFit="1" customWidth="1"/>
    <col min="2" max="2" width="14.7265625" style="17" customWidth="1"/>
    <col min="3" max="3" width="13.7265625" style="17" bestFit="1" customWidth="1"/>
    <col min="4" max="4" width="4" style="17" customWidth="1"/>
    <col min="5" max="5" width="14.7265625" style="17" customWidth="1"/>
    <col min="6" max="8" width="15.1796875" style="17" customWidth="1"/>
    <col min="9" max="9" width="8.81640625" style="17" bestFit="1" customWidth="1"/>
    <col min="10" max="10" width="25.54296875" style="17" bestFit="1" customWidth="1"/>
    <col min="11" max="11" width="25.54296875" style="17" customWidth="1"/>
    <col min="12" max="12" width="14" style="17" bestFit="1" customWidth="1"/>
    <col min="13" max="14" width="10.26953125" style="17" bestFit="1" customWidth="1"/>
    <col min="15" max="15" width="5.1796875" style="17" customWidth="1"/>
    <col min="16" max="16" width="9.453125" style="17" bestFit="1" customWidth="1"/>
    <col min="17" max="18" width="10.26953125" style="17" bestFit="1" customWidth="1"/>
    <col min="19" max="21" width="10.453125" style="17" bestFit="1" customWidth="1"/>
    <col min="22" max="16384" width="9.1796875" style="17"/>
  </cols>
  <sheetData>
    <row r="1" spans="1:18" x14ac:dyDescent="0.3">
      <c r="A1" s="16" t="s">
        <v>16</v>
      </c>
      <c r="K1" s="61"/>
      <c r="L1" s="61"/>
      <c r="M1" s="42"/>
      <c r="N1" s="16"/>
    </row>
    <row r="2" spans="1:18" x14ac:dyDescent="0.3">
      <c r="B2" s="23" t="s">
        <v>29</v>
      </c>
      <c r="C2" s="23"/>
      <c r="E2" s="23" t="s">
        <v>34</v>
      </c>
      <c r="F2" s="23"/>
      <c r="H2" s="16" t="s">
        <v>64</v>
      </c>
      <c r="L2" s="42"/>
      <c r="N2" s="78"/>
      <c r="O2" s="78"/>
      <c r="P2" s="78"/>
      <c r="Q2" s="61"/>
      <c r="R2" s="61"/>
    </row>
    <row r="3" spans="1:18" s="54" customFormat="1" ht="44.25" customHeight="1" x14ac:dyDescent="0.35">
      <c r="A3" s="52" t="s">
        <v>13</v>
      </c>
      <c r="B3" s="53" t="s">
        <v>17</v>
      </c>
      <c r="C3" s="53" t="s">
        <v>17</v>
      </c>
      <c r="E3" s="53" t="s">
        <v>17</v>
      </c>
      <c r="F3" s="53" t="s">
        <v>17</v>
      </c>
      <c r="H3" s="55" t="s">
        <v>65</v>
      </c>
      <c r="I3" s="56">
        <v>0</v>
      </c>
      <c r="L3" s="62"/>
      <c r="N3" s="77"/>
      <c r="O3" s="77"/>
      <c r="P3" s="77"/>
      <c r="Q3" s="62"/>
      <c r="R3" s="62"/>
    </row>
    <row r="4" spans="1:18" s="54" customFormat="1" ht="28.5" customHeight="1" x14ac:dyDescent="0.35">
      <c r="A4" s="55" t="s">
        <v>68</v>
      </c>
      <c r="B4" s="57">
        <f>'Salary Breakup'!C10</f>
        <v>950004</v>
      </c>
      <c r="C4" s="57"/>
      <c r="E4" s="57">
        <f>B4</f>
        <v>950004</v>
      </c>
      <c r="F4" s="57"/>
      <c r="H4" s="55" t="s">
        <v>66</v>
      </c>
      <c r="I4" s="58">
        <f>I3*12</f>
        <v>0</v>
      </c>
      <c r="L4" s="62"/>
      <c r="N4" s="77"/>
      <c r="O4" s="77"/>
      <c r="P4" s="77"/>
      <c r="Q4" s="62"/>
      <c r="R4" s="62"/>
    </row>
    <row r="5" spans="1:18" x14ac:dyDescent="0.3">
      <c r="A5" s="19" t="s">
        <v>14</v>
      </c>
      <c r="B5" s="20">
        <f>'Salary Breakup'!C11</f>
        <v>475008</v>
      </c>
      <c r="C5" s="20"/>
      <c r="E5" s="20">
        <f>B5</f>
        <v>475008</v>
      </c>
      <c r="F5" s="20"/>
      <c r="I5" s="45"/>
      <c r="L5" s="42"/>
      <c r="N5" s="16"/>
      <c r="R5" s="47"/>
    </row>
    <row r="6" spans="1:18" x14ac:dyDescent="0.3">
      <c r="A6" s="19" t="s">
        <v>10</v>
      </c>
      <c r="B6" s="20">
        <f>'Salary Breakup'!C12</f>
        <v>0</v>
      </c>
      <c r="C6" s="20"/>
      <c r="E6" s="20">
        <f>B6</f>
        <v>0</v>
      </c>
      <c r="F6" s="20"/>
      <c r="I6" s="45"/>
      <c r="K6" s="16"/>
      <c r="L6" s="47"/>
      <c r="R6" s="42"/>
    </row>
    <row r="7" spans="1:18" x14ac:dyDescent="0.3">
      <c r="A7" s="19" t="s">
        <v>11</v>
      </c>
      <c r="B7" s="20">
        <f>'Salary Breakup'!C13</f>
        <v>453384</v>
      </c>
      <c r="C7" s="20"/>
      <c r="E7" s="20">
        <f>B7</f>
        <v>453384</v>
      </c>
      <c r="F7" s="20"/>
      <c r="K7" s="16"/>
      <c r="L7" s="42"/>
      <c r="N7" s="16"/>
      <c r="R7" s="47"/>
    </row>
    <row r="8" spans="1:18" x14ac:dyDescent="0.3">
      <c r="A8" s="19"/>
      <c r="B8" s="20"/>
      <c r="C8" s="20"/>
      <c r="E8" s="20"/>
      <c r="F8" s="20"/>
      <c r="L8" s="47"/>
      <c r="N8" s="16"/>
      <c r="R8" s="47"/>
    </row>
    <row r="9" spans="1:18" x14ac:dyDescent="0.3">
      <c r="A9" s="18" t="s">
        <v>18</v>
      </c>
      <c r="B9" s="20"/>
      <c r="C9" s="21">
        <f>SUM(B4:B7)</f>
        <v>1878396</v>
      </c>
      <c r="E9" s="20"/>
      <c r="F9" s="21">
        <f>SUM(E4:E7)</f>
        <v>1878396</v>
      </c>
    </row>
    <row r="10" spans="1:18" x14ac:dyDescent="0.3">
      <c r="A10" s="18"/>
      <c r="B10" s="20"/>
      <c r="C10" s="20"/>
      <c r="E10" s="20"/>
      <c r="F10" s="20"/>
      <c r="L10" s="61"/>
      <c r="M10" s="61"/>
      <c r="N10" s="61"/>
      <c r="O10" s="61"/>
      <c r="P10" s="61"/>
    </row>
    <row r="11" spans="1:18" x14ac:dyDescent="0.3">
      <c r="A11" s="19" t="s">
        <v>19</v>
      </c>
      <c r="B11" s="20"/>
      <c r="C11" s="20"/>
      <c r="E11" s="20"/>
      <c r="F11" s="20"/>
      <c r="L11" s="63"/>
      <c r="M11" s="63"/>
      <c r="N11" s="42"/>
      <c r="O11" s="50"/>
      <c r="P11" s="42"/>
    </row>
    <row r="12" spans="1:18" x14ac:dyDescent="0.3">
      <c r="A12" s="18" t="s">
        <v>23</v>
      </c>
      <c r="B12" s="20"/>
      <c r="C12" s="21">
        <f>MIN(B13:B15)</f>
        <v>0</v>
      </c>
      <c r="E12" s="20"/>
      <c r="F12" s="21">
        <v>0</v>
      </c>
      <c r="L12" s="63"/>
      <c r="M12" s="63"/>
      <c r="N12" s="42"/>
      <c r="O12" s="50"/>
      <c r="P12" s="42"/>
    </row>
    <row r="13" spans="1:18" x14ac:dyDescent="0.3">
      <c r="A13" s="19" t="s">
        <v>20</v>
      </c>
      <c r="B13" s="20">
        <f>B5</f>
        <v>475008</v>
      </c>
      <c r="C13" s="20"/>
      <c r="E13" s="20"/>
      <c r="F13" s="20"/>
      <c r="L13" s="63"/>
      <c r="M13" s="42"/>
      <c r="N13" s="42"/>
      <c r="O13" s="50"/>
      <c r="P13" s="42"/>
    </row>
    <row r="14" spans="1:18" x14ac:dyDescent="0.3">
      <c r="A14" s="19" t="s">
        <v>22</v>
      </c>
      <c r="B14" s="20">
        <f>IF(((I4)-ROUND(SUM(B4)*10%,0))&lt;0,0,(I4)-ROUND(SUM(B4)*10%,0))</f>
        <v>0</v>
      </c>
      <c r="C14" s="20"/>
      <c r="E14" s="20"/>
      <c r="F14" s="20"/>
      <c r="L14" s="63"/>
      <c r="M14" s="42"/>
      <c r="N14" s="42"/>
      <c r="O14" s="50"/>
      <c r="P14" s="42"/>
    </row>
    <row r="15" spans="1:18" x14ac:dyDescent="0.3">
      <c r="A15" s="19" t="s">
        <v>21</v>
      </c>
      <c r="B15" s="20">
        <f>ROUND(SUM(B4)*40%,0)</f>
        <v>380002</v>
      </c>
      <c r="C15" s="20"/>
      <c r="E15" s="20"/>
      <c r="F15" s="20"/>
      <c r="L15" s="16"/>
      <c r="P15" s="47"/>
    </row>
    <row r="16" spans="1:18" x14ac:dyDescent="0.3">
      <c r="A16" s="19"/>
      <c r="B16" s="20"/>
      <c r="C16" s="20"/>
      <c r="E16" s="20"/>
      <c r="F16" s="20"/>
      <c r="L16" s="16"/>
      <c r="P16" s="42"/>
    </row>
    <row r="17" spans="1:21" x14ac:dyDescent="0.3">
      <c r="A17" s="18" t="s">
        <v>24</v>
      </c>
      <c r="B17" s="20"/>
      <c r="C17" s="21">
        <v>50000</v>
      </c>
      <c r="E17" s="20"/>
      <c r="F17" s="21">
        <v>75000</v>
      </c>
      <c r="L17" s="16"/>
      <c r="P17" s="47"/>
    </row>
    <row r="18" spans="1:21" x14ac:dyDescent="0.3">
      <c r="A18" s="18" t="s">
        <v>25</v>
      </c>
      <c r="B18" s="20"/>
      <c r="C18" s="21">
        <f>200*12+100</f>
        <v>2500</v>
      </c>
      <c r="E18" s="20"/>
      <c r="F18" s="21">
        <f>200*12*0</f>
        <v>0</v>
      </c>
      <c r="M18" s="42"/>
      <c r="P18" s="42"/>
    </row>
    <row r="19" spans="1:21" x14ac:dyDescent="0.3">
      <c r="A19" s="18" t="s">
        <v>26</v>
      </c>
      <c r="B19" s="20"/>
      <c r="C19" s="21">
        <f>IF(SUM(B20:B26)&gt;150000,150000,SUM(B20:B26))</f>
        <v>150000</v>
      </c>
      <c r="E19" s="20"/>
      <c r="F19" s="21">
        <f>150000*0</f>
        <v>0</v>
      </c>
      <c r="L19" s="16"/>
      <c r="M19" s="42"/>
      <c r="N19" s="42"/>
      <c r="O19" s="50"/>
      <c r="P19" s="47"/>
    </row>
    <row r="20" spans="1:21" x14ac:dyDescent="0.3">
      <c r="A20" s="19" t="s">
        <v>53</v>
      </c>
      <c r="B20" s="64">
        <v>150000</v>
      </c>
      <c r="C20" s="21"/>
      <c r="E20" s="20"/>
      <c r="F20" s="21"/>
      <c r="M20" s="42"/>
      <c r="N20" s="42"/>
      <c r="O20" s="50"/>
      <c r="P20" s="42"/>
    </row>
    <row r="21" spans="1:21" hidden="1" x14ac:dyDescent="0.3">
      <c r="A21" s="19" t="s">
        <v>54</v>
      </c>
      <c r="B21" s="20">
        <v>0</v>
      </c>
      <c r="C21" s="21"/>
      <c r="E21" s="20"/>
      <c r="F21" s="21"/>
      <c r="P21" s="47"/>
    </row>
    <row r="22" spans="1:21" hidden="1" x14ac:dyDescent="0.3">
      <c r="A22" s="19" t="s">
        <v>55</v>
      </c>
      <c r="B22" s="20">
        <v>0</v>
      </c>
      <c r="C22" s="21"/>
      <c r="E22" s="20"/>
      <c r="F22" s="21"/>
      <c r="N22" s="42"/>
      <c r="P22" s="42"/>
    </row>
    <row r="23" spans="1:21" hidden="1" x14ac:dyDescent="0.3">
      <c r="A23" s="19" t="s">
        <v>56</v>
      </c>
      <c r="B23" s="20">
        <v>0</v>
      </c>
      <c r="C23" s="21"/>
      <c r="E23" s="20"/>
      <c r="F23" s="21"/>
    </row>
    <row r="24" spans="1:21" hidden="1" x14ac:dyDescent="0.3">
      <c r="A24" s="19" t="s">
        <v>57</v>
      </c>
      <c r="B24" s="20">
        <v>0</v>
      </c>
      <c r="C24" s="21"/>
      <c r="E24" s="20"/>
      <c r="F24" s="21"/>
    </row>
    <row r="25" spans="1:21" hidden="1" x14ac:dyDescent="0.3">
      <c r="A25" s="19" t="s">
        <v>58</v>
      </c>
      <c r="B25" s="20">
        <v>0</v>
      </c>
      <c r="C25" s="21"/>
      <c r="E25" s="20"/>
      <c r="F25" s="21"/>
    </row>
    <row r="26" spans="1:21" x14ac:dyDescent="0.3">
      <c r="A26" s="19" t="s">
        <v>59</v>
      </c>
      <c r="B26" s="65">
        <f>'Salary Breakup'!C16</f>
        <v>21600</v>
      </c>
      <c r="C26" s="21"/>
      <c r="E26" s="20"/>
      <c r="F26" s="21"/>
      <c r="K26" s="16"/>
      <c r="R26" s="42"/>
    </row>
    <row r="27" spans="1:21" x14ac:dyDescent="0.3">
      <c r="A27" s="18" t="s">
        <v>27</v>
      </c>
      <c r="B27" s="20"/>
      <c r="C27" s="21"/>
      <c r="E27" s="20"/>
      <c r="F27" s="21"/>
      <c r="R27" s="42"/>
      <c r="S27" s="51"/>
    </row>
    <row r="28" spans="1:21" x14ac:dyDescent="0.3">
      <c r="A28" s="19" t="s">
        <v>60</v>
      </c>
      <c r="B28" s="64">
        <v>0</v>
      </c>
      <c r="C28" s="21">
        <f>IF(B28&gt;25000,25000,B28)</f>
        <v>0</v>
      </c>
      <c r="E28" s="20"/>
      <c r="F28" s="21">
        <v>0</v>
      </c>
      <c r="R28" s="42"/>
      <c r="S28" s="51"/>
    </row>
    <row r="29" spans="1:21" x14ac:dyDescent="0.3">
      <c r="A29" s="19" t="s">
        <v>61</v>
      </c>
      <c r="B29" s="64">
        <v>0</v>
      </c>
      <c r="C29" s="21">
        <f>IF(B29&gt;25000,25000,B29)</f>
        <v>0</v>
      </c>
      <c r="E29" s="20"/>
      <c r="F29" s="21">
        <v>0</v>
      </c>
      <c r="S29" s="51"/>
    </row>
    <row r="30" spans="1:21" x14ac:dyDescent="0.3">
      <c r="A30" s="19" t="s">
        <v>62</v>
      </c>
      <c r="B30" s="64">
        <v>0</v>
      </c>
      <c r="C30" s="21">
        <f>IF(B30&gt;50000,50000,B30)</f>
        <v>0</v>
      </c>
      <c r="E30" s="20"/>
      <c r="F30" s="21">
        <v>0</v>
      </c>
      <c r="S30" s="51"/>
      <c r="T30" s="51"/>
      <c r="U30" s="51"/>
    </row>
    <row r="31" spans="1:21" x14ac:dyDescent="0.3">
      <c r="A31" s="18" t="s">
        <v>52</v>
      </c>
      <c r="B31" s="64">
        <v>0</v>
      </c>
      <c r="C31" s="21">
        <f>IF(B31&gt;200000,200000,B31)</f>
        <v>0</v>
      </c>
      <c r="E31" s="20"/>
      <c r="F31" s="21">
        <v>0</v>
      </c>
      <c r="U31" s="51"/>
    </row>
    <row r="32" spans="1:21" x14ac:dyDescent="0.3">
      <c r="A32" s="18" t="s">
        <v>63</v>
      </c>
      <c r="B32" s="64">
        <v>0</v>
      </c>
      <c r="C32" s="21">
        <f>IF(B32&gt;50000,50000,B32)</f>
        <v>0</v>
      </c>
      <c r="E32" s="20"/>
      <c r="F32" s="21">
        <v>0</v>
      </c>
    </row>
    <row r="33" spans="1:18" x14ac:dyDescent="0.3">
      <c r="A33" s="18"/>
      <c r="B33" s="20"/>
      <c r="C33" s="21"/>
      <c r="E33" s="20"/>
      <c r="F33" s="21"/>
      <c r="L33" s="66" t="s">
        <v>36</v>
      </c>
      <c r="M33" s="66"/>
      <c r="N33" s="66"/>
      <c r="O33" s="66"/>
      <c r="P33" s="66" t="s">
        <v>37</v>
      </c>
      <c r="Q33" s="66"/>
      <c r="R33" s="66"/>
    </row>
    <row r="34" spans="1:18" x14ac:dyDescent="0.3">
      <c r="A34" s="22" t="s">
        <v>28</v>
      </c>
      <c r="B34" s="24"/>
      <c r="C34" s="25">
        <f>C9-SUM(C11:C33)</f>
        <v>1675896</v>
      </c>
      <c r="E34" s="24"/>
      <c r="F34" s="25">
        <f>F9-SUM(F11:F33)</f>
        <v>1803396</v>
      </c>
      <c r="H34" s="42"/>
      <c r="I34" s="42"/>
      <c r="L34" s="67" t="s">
        <v>45</v>
      </c>
      <c r="M34" s="67" t="s">
        <v>46</v>
      </c>
      <c r="N34" s="67" t="s">
        <v>47</v>
      </c>
      <c r="O34" s="67"/>
      <c r="P34" s="67" t="s">
        <v>45</v>
      </c>
      <c r="Q34" s="67" t="s">
        <v>46</v>
      </c>
      <c r="R34" s="67" t="s">
        <v>47</v>
      </c>
    </row>
    <row r="35" spans="1:18" x14ac:dyDescent="0.3">
      <c r="L35" s="68">
        <v>0</v>
      </c>
      <c r="M35" s="69">
        <v>0</v>
      </c>
      <c r="N35" s="69">
        <v>0</v>
      </c>
      <c r="O35" s="69"/>
      <c r="P35" s="68">
        <v>0</v>
      </c>
      <c r="Q35" s="69">
        <v>0</v>
      </c>
      <c r="R35" s="69">
        <v>0</v>
      </c>
    </row>
    <row r="36" spans="1:18" x14ac:dyDescent="0.3">
      <c r="A36" s="34" t="s">
        <v>44</v>
      </c>
      <c r="B36" s="35"/>
      <c r="C36" s="37">
        <f>IF(C34&gt;5000000,33%,IF(AND(C34&gt;500000,C34&lt;1000000),20%,IF(AND(C34&gt;1000000,C34&lt;5000000),30%,0%)))</f>
        <v>0.3</v>
      </c>
      <c r="E36" s="36"/>
      <c r="F36" s="37">
        <f>IF(AND(F34&gt;1200000,F34&lt;1600000),15%,IF(AND(F34&gt;1600000,F34&lt;2000000),20%,IF(AND(F34&gt;2000000,F34&lt;2400000),25%,IF(AND(F34&gt;2400000,F34&lt;5000000),30%,0%))))</f>
        <v>0.2</v>
      </c>
      <c r="L36" s="68">
        <v>0.05</v>
      </c>
      <c r="M36" s="69">
        <v>0</v>
      </c>
      <c r="N36" s="69">
        <v>250000</v>
      </c>
      <c r="O36" s="69"/>
      <c r="P36" s="68">
        <v>0.05</v>
      </c>
      <c r="Q36" s="69">
        <v>0</v>
      </c>
      <c r="R36" s="69">
        <v>400000</v>
      </c>
    </row>
    <row r="37" spans="1:18" x14ac:dyDescent="0.3">
      <c r="L37" s="68">
        <v>0.2</v>
      </c>
      <c r="M37" s="69">
        <f>250000*5%</f>
        <v>12500</v>
      </c>
      <c r="N37" s="69">
        <v>500000</v>
      </c>
      <c r="O37" s="69"/>
      <c r="P37" s="68">
        <v>0.1</v>
      </c>
      <c r="Q37" s="69">
        <f>400000*5%</f>
        <v>20000</v>
      </c>
      <c r="R37" s="69">
        <v>800000</v>
      </c>
    </row>
    <row r="38" spans="1:18" x14ac:dyDescent="0.3">
      <c r="A38" s="34" t="s">
        <v>30</v>
      </c>
      <c r="B38" s="35"/>
      <c r="C38" s="28">
        <f>VLOOKUP($C$36,$L$35:$N$41,2,0)+ROUND(($C$34-VLOOKUP($C$36,$L$35:$N$41,3,0))*$C$36,0)</f>
        <v>315269</v>
      </c>
      <c r="D38" s="16"/>
      <c r="E38" s="34"/>
      <c r="F38" s="28">
        <f>VLOOKUP($F$36,$P$35:$R$41,2,0)+ROUND(($F$34-VLOOKUP($F$36,$P$35:$R$41,3,0))*$F$36,0)</f>
        <v>160679</v>
      </c>
      <c r="L38" s="68">
        <v>0.3</v>
      </c>
      <c r="M38" s="69">
        <f>M37+500000*20%</f>
        <v>112500</v>
      </c>
      <c r="N38" s="69">
        <v>1000000</v>
      </c>
      <c r="O38" s="69"/>
      <c r="P38" s="68">
        <v>0.15</v>
      </c>
      <c r="Q38" s="69">
        <f>Q37+400000*10%</f>
        <v>60000</v>
      </c>
      <c r="R38" s="69">
        <v>1200000</v>
      </c>
    </row>
    <row r="39" spans="1:18" x14ac:dyDescent="0.3">
      <c r="A39" s="36" t="s">
        <v>48</v>
      </c>
      <c r="B39" s="35"/>
      <c r="C39" s="40">
        <v>0</v>
      </c>
      <c r="E39" s="36"/>
      <c r="F39" s="40">
        <f>IF(F38=0,0,IF((F34-1200000)&lt;60000,(F38-(F34-1200000)),0))</f>
        <v>0</v>
      </c>
      <c r="L39" s="66"/>
      <c r="M39" s="66"/>
      <c r="N39" s="66"/>
      <c r="O39" s="66"/>
      <c r="P39" s="68">
        <v>0.2</v>
      </c>
      <c r="Q39" s="69">
        <f>Q38+400000*15%</f>
        <v>120000</v>
      </c>
      <c r="R39" s="69">
        <v>1600000</v>
      </c>
    </row>
    <row r="40" spans="1:18" x14ac:dyDescent="0.3">
      <c r="A40" s="34" t="s">
        <v>49</v>
      </c>
      <c r="B40" s="35"/>
      <c r="C40" s="28">
        <f>C38-C39</f>
        <v>315269</v>
      </c>
      <c r="D40" s="16"/>
      <c r="E40" s="34"/>
      <c r="F40" s="28">
        <f>F38-F39</f>
        <v>160679</v>
      </c>
      <c r="I40" s="42"/>
      <c r="L40" s="66"/>
      <c r="M40" s="66"/>
      <c r="N40" s="66"/>
      <c r="O40" s="66"/>
      <c r="P40" s="68">
        <v>0.25</v>
      </c>
      <c r="Q40" s="69">
        <f>Q39+400000*20%</f>
        <v>200000</v>
      </c>
      <c r="R40" s="69">
        <v>2000000</v>
      </c>
    </row>
    <row r="41" spans="1:18" x14ac:dyDescent="0.3">
      <c r="A41" s="34" t="s">
        <v>31</v>
      </c>
      <c r="B41" s="38"/>
      <c r="C41" s="40">
        <f>ROUND(C40*4%,0)</f>
        <v>12611</v>
      </c>
      <c r="E41" s="36"/>
      <c r="F41" s="40">
        <f>ROUND(F40*4%,0)</f>
        <v>6427</v>
      </c>
      <c r="L41" s="66"/>
      <c r="M41" s="66"/>
      <c r="N41" s="66"/>
      <c r="O41" s="66"/>
      <c r="P41" s="68">
        <v>0.3</v>
      </c>
      <c r="Q41" s="69">
        <f>Q40+400000*25%</f>
        <v>300000</v>
      </c>
      <c r="R41" s="69">
        <v>2400000</v>
      </c>
    </row>
    <row r="42" spans="1:18" x14ac:dyDescent="0.3">
      <c r="P42" s="46"/>
      <c r="Q42" s="45"/>
      <c r="R42" s="45"/>
    </row>
    <row r="43" spans="1:18" x14ac:dyDescent="0.3">
      <c r="A43" s="34" t="s">
        <v>32</v>
      </c>
      <c r="B43" s="38"/>
      <c r="C43" s="26">
        <f>SUM(C40:C42)</f>
        <v>327880</v>
      </c>
      <c r="E43" s="19"/>
      <c r="F43" s="26">
        <f>SUM(F40:F42)</f>
        <v>167106</v>
      </c>
      <c r="P43" s="46"/>
      <c r="Q43" s="45"/>
      <c r="R43" s="45"/>
    </row>
    <row r="44" spans="1:18" x14ac:dyDescent="0.3">
      <c r="A44" s="41" t="s">
        <v>33</v>
      </c>
      <c r="B44" s="39"/>
      <c r="C44" s="28">
        <f>ROUND(C43/12,0)</f>
        <v>27323</v>
      </c>
      <c r="E44" s="27"/>
      <c r="F44" s="28">
        <f>ROUND(F43/12,0)</f>
        <v>13926</v>
      </c>
    </row>
    <row r="45" spans="1:18" x14ac:dyDescent="0.3">
      <c r="J45" s="16"/>
      <c r="K45" s="16"/>
      <c r="L45" s="45"/>
    </row>
    <row r="46" spans="1:18" x14ac:dyDescent="0.3">
      <c r="J46" s="16"/>
      <c r="K46" s="16"/>
    </row>
    <row r="47" spans="1:18" x14ac:dyDescent="0.3">
      <c r="L47" s="45"/>
    </row>
    <row r="48" spans="1:18" x14ac:dyDescent="0.3">
      <c r="L48" s="45"/>
    </row>
    <row r="50" spans="10:12" x14ac:dyDescent="0.3">
      <c r="J50" s="16"/>
      <c r="K50" s="16"/>
      <c r="L50" s="47"/>
    </row>
  </sheetData>
  <mergeCells count="3">
    <mergeCell ref="N3:P3"/>
    <mergeCell ref="N4:P4"/>
    <mergeCell ref="N2:P2"/>
  </mergeCells>
  <pageMargins left="0.7" right="0.7" top="0.75" bottom="0.75" header="0.3" footer="0.3"/>
  <pageSetup scale="71" orientation="portrait" r:id="rId1"/>
  <ignoredErrors>
    <ignoredError sqref="C3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9954679665B438FBB710F35BB515A" ma:contentTypeVersion="19" ma:contentTypeDescription="Create a new document." ma:contentTypeScope="" ma:versionID="956c182ff5405957d14fc4ae1f7a39a5">
  <xsd:schema xmlns:xsd="http://www.w3.org/2001/XMLSchema" xmlns:xs="http://www.w3.org/2001/XMLSchema" xmlns:p="http://schemas.microsoft.com/office/2006/metadata/properties" xmlns:ns1="http://schemas.microsoft.com/sharepoint/v3" xmlns:ns2="e665b898-fe11-44e0-a732-d7c1764c1850" xmlns:ns3="2a478d91-fda4-4ab6-ac7a-9a035d647d28" targetNamespace="http://schemas.microsoft.com/office/2006/metadata/properties" ma:root="true" ma:fieldsID="b6648267c86289ae553804bec5e9bb89" ns1:_="" ns2:_="" ns3:_="">
    <xsd:import namespace="http://schemas.microsoft.com/sharepoint/v3"/>
    <xsd:import namespace="e665b898-fe11-44e0-a732-d7c1764c1850"/>
    <xsd:import namespace="2a478d91-fda4-4ab6-ac7a-9a035d647d28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2:SharedWithUsers" minOccurs="0"/>
                <xsd:element ref="ns2:SharedWithDetail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65b898-fe11-44e0-a732-d7c1764c185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8" nillable="true" ma:displayName="Taxonomy Catch All Column" ma:hidden="true" ma:list="{b76359f8-addd-413e-aead-6f99ac61f56c}" ma:internalName="TaxCatchAll" ma:showField="CatchAllData" ma:web="e665b898-fe11-44e0-a732-d7c1764c18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478d91-fda4-4ab6-ac7a-9a035d647d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7" nillable="true" ma:taxonomy="true" ma:internalName="lcf76f155ced4ddcb4097134ff3c332f" ma:taxonomyFieldName="MediaServiceImageTags" ma:displayName="Image Tags" ma:readOnly="false" ma:fieldId="{5cf76f15-5ced-4ddc-b409-7134ff3c332f}" ma:taxonomyMulti="true" ma:sspId="bd38cdfc-9083-4fe3-9560-5b1f886520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  <_dlc_DocId xmlns="e665b898-fe11-44e0-a732-d7c1764c1850">JRY5PC5QNTND-283436327-823647</_dlc_DocId>
    <_dlc_DocIdUrl xmlns="e665b898-fe11-44e0-a732-d7c1764c1850">
      <Url>https://staffingaditi.sharepoint.com/sites/Team_Vistra/_layouts/15/DocIdRedir.aspx?ID=JRY5PC5QNTND-283436327-823647</Url>
      <Description>JRY5PC5QNTND-283436327-823647</Description>
    </_dlc_DocIdUrl>
    <lcf76f155ced4ddcb4097134ff3c332f xmlns="2a478d91-fda4-4ab6-ac7a-9a035d647d28">
      <Terms xmlns="http://schemas.microsoft.com/office/infopath/2007/PartnerControls"/>
    </lcf76f155ced4ddcb4097134ff3c332f>
    <TaxCatchAll xmlns="e665b898-fe11-44e0-a732-d7c1764c1850" xsi:nil="true"/>
  </documentManagement>
</p:properties>
</file>

<file path=customXml/itemProps1.xml><?xml version="1.0" encoding="utf-8"?>
<ds:datastoreItem xmlns:ds="http://schemas.openxmlformats.org/officeDocument/2006/customXml" ds:itemID="{AAD35D76-682F-44FA-BADD-065E2AC0B3C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DA3C81-EBC1-4AC1-94C6-94FDEA6082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665b898-fe11-44e0-a732-d7c1764c1850"/>
    <ds:schemaRef ds:uri="2a478d91-fda4-4ab6-ac7a-9a035d647d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C50F6A-F3E1-4082-885E-1DC9E4A06A92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4D17600-8E5E-46A5-B8F5-39FBA2A5B76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e665b898-fe11-44e0-a732-d7c1764c1850"/>
    <ds:schemaRef ds:uri="2a478d91-fda4-4ab6-ac7a-9a035d647d28"/>
  </ds:schemaRefs>
</ds:datastoreItem>
</file>

<file path=docMetadata/LabelInfo.xml><?xml version="1.0" encoding="utf-8"?>
<clbl:labelList xmlns:clbl="http://schemas.microsoft.com/office/2020/mipLabelMetadata">
  <clbl:label id="{88d9e562-50eb-49de-b8ce-a7198a175d32}" enabled="0" method="" siteId="{88d9e562-50eb-49de-b8ce-a7198a175d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Salary Breakup</vt:lpstr>
      <vt:lpstr>Tax working</vt:lpstr>
      <vt:lpstr>'Salary Breakup'!Print_Area</vt:lpstr>
      <vt:lpstr>'Tax working'!Print_Area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niranjann</dc:creator>
  <cp:lastModifiedBy>Shabitha Reddy</cp:lastModifiedBy>
  <cp:lastPrinted>2019-07-05T14:11:05Z</cp:lastPrinted>
  <dcterms:created xsi:type="dcterms:W3CDTF">2010-05-11T04:59:03Z</dcterms:created>
  <dcterms:modified xsi:type="dcterms:W3CDTF">2026-07-23T08:35:30Z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0x0101001EA9954679665B438FBB710F35BB515A</vt:lpwstr>
  </property>
  <property fmtid="{D5CDD505-2E9C-101B-9397-08002B2CF9AE}" pid="3" name="_dlc_DocIdItemGuid">
    <vt:lpwstr>2c076df0-49ff-4969-ba68-4f6b97cb37ba</vt:lpwstr>
  </property>
  <property fmtid="{D5CDD505-2E9C-101B-9397-08002B2CF9AE}" pid="4" name="MediaServiceImageTags">
    <vt:lpwstr/>
  </property>
</Properties>
</file>